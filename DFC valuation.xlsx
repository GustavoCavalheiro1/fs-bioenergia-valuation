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48e784b4383a6a/Documentos/Challanges/"/>
    </mc:Choice>
  </mc:AlternateContent>
  <xr:revisionPtr revIDLastSave="10" documentId="8_{B962EF34-902E-4B58-8D41-CD2E42E8ACEC}" xr6:coauthVersionLast="47" xr6:coauthVersionMax="47" xr10:uidLastSave="{92EE44C0-CEF4-4FAA-B7D7-F9BA4EA4C855}"/>
  <bookViews>
    <workbookView xWindow="-110" yWindow="-110" windowWidth="19420" windowHeight="10300" xr2:uid="{5CB7EFE2-AFAD-46A1-9E6B-641847096D3C}"/>
  </bookViews>
  <sheets>
    <sheet name="DFC" sheetId="1" r:id="rId1"/>
    <sheet name="Premiss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J5" i="1" s="1"/>
  <c r="L5" i="1" s="1"/>
  <c r="I6" i="1"/>
  <c r="I7" i="1"/>
  <c r="G5" i="1"/>
  <c r="G6" i="1"/>
  <c r="G7" i="1"/>
  <c r="L4" i="1"/>
  <c r="J4" i="1"/>
  <c r="J7" i="1"/>
  <c r="L7" i="1" s="1"/>
  <c r="I4" i="1"/>
  <c r="B4" i="1"/>
  <c r="D4" i="1" s="1"/>
  <c r="G4" i="1" s="1"/>
  <c r="L3" i="1"/>
  <c r="J3" i="1"/>
  <c r="D3" i="1"/>
  <c r="J6" i="1" l="1"/>
  <c r="L6" i="1" s="1"/>
  <c r="B5" i="1"/>
  <c r="D5" i="1" l="1"/>
  <c r="B6" i="1"/>
  <c r="B7" i="1" l="1"/>
  <c r="D7" i="1" s="1"/>
  <c r="D6" i="1"/>
</calcChain>
</file>

<file path=xl/sharedStrings.xml><?xml version="1.0" encoding="utf-8"?>
<sst xmlns="http://schemas.openxmlformats.org/spreadsheetml/2006/main" count="21" uniqueCount="21">
  <si>
    <t>Capacidade gerada</t>
  </si>
  <si>
    <t>DFC</t>
  </si>
  <si>
    <t>Margem Ebtida</t>
  </si>
  <si>
    <t>Receita (R$ em mi)</t>
  </si>
  <si>
    <t>Ebtida (em R$ mi)</t>
  </si>
  <si>
    <t>Crescimento Receita(%)</t>
  </si>
  <si>
    <t>-</t>
  </si>
  <si>
    <t>CAPEX( R$ em mi)</t>
  </si>
  <si>
    <t>Impostos (R$ mi)</t>
  </si>
  <si>
    <t>FCL (R$ mi)</t>
  </si>
  <si>
    <t>Fator de Desconto</t>
  </si>
  <si>
    <t>Valor Presente (R$ mi)</t>
  </si>
  <si>
    <t>Preço médio(etanol)</t>
  </si>
  <si>
    <t>Premissa</t>
  </si>
  <si>
    <t>Valor</t>
  </si>
  <si>
    <t>Crescimento Receita Anual (%)</t>
  </si>
  <si>
    <t>Margem EBITDA (%)</t>
  </si>
  <si>
    <t>CAPEX Anual (R$ mi)</t>
  </si>
  <si>
    <t>Impostos Efetivos (%)</t>
  </si>
  <si>
    <t>WACC (%)</t>
  </si>
  <si>
    <t>Crescimento Perpétuo (g)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</si>
</sst>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CE11-3913-4C5F-BF4B-1C34B5BC0241}">
  <dimension ref="A1:N8"/>
  <sheetViews>
    <sheetView tabSelected="1" workbookViewId="0">
      <selection activeCell="A7" sqref="A7"/>
    </sheetView>
  </sheetViews>
  <sheetFormatPr defaultRowHeight="14.5" x14ac:dyDescent="0.35"/>
  <cols>
    <col min="1" max="1" width="20.453125" customWidth="1"/>
    <col min="2" max="2" width="10.36328125" bestFit="1" customWidth="1"/>
    <col min="3" max="3" width="11.54296875" customWidth="1"/>
    <col min="4" max="4" width="21.453125" customWidth="1"/>
    <col min="5" max="5" width="26.453125" customWidth="1"/>
    <col min="6" max="6" width="11.7265625" customWidth="1"/>
    <col min="7" max="7" width="15" customWidth="1"/>
    <col min="8" max="8" width="14.90625" customWidth="1"/>
    <col min="9" max="9" width="18.08984375" customWidth="1"/>
    <col min="10" max="10" width="12.08984375" customWidth="1"/>
    <col min="11" max="11" width="15.54296875" customWidth="1"/>
    <col min="12" max="12" width="19.08984375" customWidth="1"/>
  </cols>
  <sheetData>
    <row r="1" spans="1:14" x14ac:dyDescent="0.35">
      <c r="A1" t="s">
        <v>1</v>
      </c>
    </row>
    <row r="2" spans="1:14" x14ac:dyDescent="0.35">
      <c r="A2" s="3"/>
      <c r="B2" s="3" t="s">
        <v>0</v>
      </c>
      <c r="C2" s="3" t="s">
        <v>12</v>
      </c>
      <c r="D2" s="3" t="s">
        <v>3</v>
      </c>
      <c r="E2" s="3" t="s">
        <v>5</v>
      </c>
      <c r="F2" s="3" t="s">
        <v>2</v>
      </c>
      <c r="G2" s="3" t="s">
        <v>4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N2" s="3"/>
    </row>
    <row r="3" spans="1:14" x14ac:dyDescent="0.35">
      <c r="A3">
        <v>2025</v>
      </c>
      <c r="B3" s="5">
        <v>2400</v>
      </c>
      <c r="C3" s="2">
        <v>2.2999999999999998</v>
      </c>
      <c r="D3" s="5">
        <f>B3*C3</f>
        <v>5520</v>
      </c>
      <c r="E3" s="2" t="s">
        <v>6</v>
      </c>
      <c r="F3" s="6">
        <v>0.35799999999999998</v>
      </c>
      <c r="G3" s="5">
        <v>1860</v>
      </c>
      <c r="H3" s="5">
        <v>720</v>
      </c>
      <c r="I3">
        <v>270</v>
      </c>
      <c r="J3" s="5">
        <f>G3-H3-I3</f>
        <v>870</v>
      </c>
      <c r="K3">
        <v>0.89700000000000002</v>
      </c>
      <c r="L3">
        <f>J3*K3</f>
        <v>780.39</v>
      </c>
    </row>
    <row r="4" spans="1:14" x14ac:dyDescent="0.35">
      <c r="A4">
        <v>2026</v>
      </c>
      <c r="B4" s="5">
        <f>B3*1.1</f>
        <v>2640</v>
      </c>
      <c r="C4" s="2">
        <v>2.2999999999999998</v>
      </c>
      <c r="D4" s="5">
        <f t="shared" ref="D4:D7" si="0">B4*C4</f>
        <v>6071.9999999999991</v>
      </c>
      <c r="E4" s="1">
        <v>0.1</v>
      </c>
      <c r="F4" s="6">
        <v>0.35799999999999998</v>
      </c>
      <c r="G4">
        <f>D4*0.35</f>
        <v>2125.1999999999994</v>
      </c>
      <c r="H4" s="5">
        <v>720</v>
      </c>
      <c r="I4">
        <f>G4*0.145</f>
        <v>308.15399999999988</v>
      </c>
      <c r="J4" s="5">
        <f t="shared" ref="J4:J7" si="1">G4-H4-I4</f>
        <v>1097.0459999999994</v>
      </c>
      <c r="K4">
        <v>0.80500000000000005</v>
      </c>
      <c r="L4">
        <f t="shared" ref="L4:L7" si="2">J4*K4</f>
        <v>883.12202999999954</v>
      </c>
    </row>
    <row r="5" spans="1:14" x14ac:dyDescent="0.35">
      <c r="A5">
        <v>2027</v>
      </c>
      <c r="B5" s="5">
        <f>B4*1.1</f>
        <v>2904.0000000000005</v>
      </c>
      <c r="C5" s="2">
        <v>2.2999999999999998</v>
      </c>
      <c r="D5" s="5">
        <f t="shared" si="0"/>
        <v>6679.2000000000007</v>
      </c>
      <c r="E5" s="1">
        <v>0.1</v>
      </c>
      <c r="F5" s="6">
        <v>0.35799999999999998</v>
      </c>
      <c r="G5">
        <f t="shared" ref="G5:G7" si="3">D5*0.35</f>
        <v>2337.7200000000003</v>
      </c>
      <c r="H5" s="5">
        <v>720</v>
      </c>
      <c r="I5">
        <f t="shared" ref="I5:I7" si="4">G5*0.145</f>
        <v>338.96940000000001</v>
      </c>
      <c r="J5" s="5">
        <f t="shared" si="1"/>
        <v>1278.7506000000003</v>
      </c>
      <c r="K5">
        <v>0.72199999999999998</v>
      </c>
      <c r="L5">
        <f t="shared" si="2"/>
        <v>923.25793320000014</v>
      </c>
    </row>
    <row r="6" spans="1:14" x14ac:dyDescent="0.35">
      <c r="A6">
        <v>2028</v>
      </c>
      <c r="B6" s="5">
        <f t="shared" ref="B6:B7" si="5">B5*1.1</f>
        <v>3194.4000000000005</v>
      </c>
      <c r="C6" s="2">
        <v>2.2999999999999998</v>
      </c>
      <c r="D6" s="5">
        <f t="shared" si="0"/>
        <v>7347.1200000000008</v>
      </c>
      <c r="E6" s="1">
        <v>0.1</v>
      </c>
      <c r="F6" s="6">
        <v>0.35799999999999998</v>
      </c>
      <c r="G6">
        <f t="shared" si="3"/>
        <v>2571.4920000000002</v>
      </c>
      <c r="H6" s="5">
        <v>720</v>
      </c>
      <c r="I6">
        <f t="shared" si="4"/>
        <v>372.86633999999998</v>
      </c>
      <c r="J6" s="5">
        <f t="shared" si="1"/>
        <v>1478.6256600000002</v>
      </c>
      <c r="K6">
        <v>0.64800000000000002</v>
      </c>
      <c r="L6">
        <f t="shared" si="2"/>
        <v>958.14942768000014</v>
      </c>
    </row>
    <row r="7" spans="1:14" x14ac:dyDescent="0.35">
      <c r="A7">
        <v>2029</v>
      </c>
      <c r="B7" s="5">
        <f t="shared" si="5"/>
        <v>3513.8400000000011</v>
      </c>
      <c r="C7" s="2">
        <v>2.2999999999999998</v>
      </c>
      <c r="D7" s="5">
        <f t="shared" si="0"/>
        <v>8081.8320000000022</v>
      </c>
      <c r="E7" s="1">
        <v>0.1</v>
      </c>
      <c r="F7" s="6">
        <v>0.35799999999999998</v>
      </c>
      <c r="G7">
        <f t="shared" si="3"/>
        <v>2828.6412000000005</v>
      </c>
      <c r="H7" s="5">
        <v>720</v>
      </c>
      <c r="I7">
        <f t="shared" si="4"/>
        <v>410.15297400000003</v>
      </c>
      <c r="J7" s="5">
        <f t="shared" si="1"/>
        <v>1698.4882260000004</v>
      </c>
      <c r="K7">
        <v>0.58099999999999996</v>
      </c>
      <c r="L7">
        <f t="shared" si="2"/>
        <v>986.82165930600013</v>
      </c>
    </row>
    <row r="8" spans="1:14" x14ac:dyDescent="0.35">
      <c r="B8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4E21-6223-40FA-A173-4B605D4F7207}">
  <dimension ref="A1:B7"/>
  <sheetViews>
    <sheetView workbookViewId="0">
      <selection activeCell="C8" sqref="C8"/>
    </sheetView>
  </sheetViews>
  <sheetFormatPr defaultRowHeight="14.5" x14ac:dyDescent="0.35"/>
  <cols>
    <col min="1" max="1" width="15" customWidth="1"/>
    <col min="2" max="2" width="20.7265625" customWidth="1"/>
  </cols>
  <sheetData>
    <row r="1" spans="1:2" x14ac:dyDescent="0.35">
      <c r="A1" s="4" t="s">
        <v>13</v>
      </c>
      <c r="B1" s="4" t="s">
        <v>14</v>
      </c>
    </row>
    <row r="2" spans="1:2" x14ac:dyDescent="0.35">
      <c r="A2" t="s">
        <v>15</v>
      </c>
      <c r="B2">
        <v>10</v>
      </c>
    </row>
    <row r="3" spans="1:2" x14ac:dyDescent="0.35">
      <c r="A3" t="s">
        <v>16</v>
      </c>
      <c r="B3">
        <v>35.799999999999997</v>
      </c>
    </row>
    <row r="4" spans="1:2" x14ac:dyDescent="0.35">
      <c r="A4" t="s">
        <v>17</v>
      </c>
      <c r="B4">
        <v>35</v>
      </c>
    </row>
    <row r="5" spans="1:2" x14ac:dyDescent="0.35">
      <c r="A5" t="s">
        <v>18</v>
      </c>
      <c r="B5">
        <v>14.5</v>
      </c>
    </row>
    <row r="6" spans="1:2" x14ac:dyDescent="0.35">
      <c r="A6" t="s">
        <v>19</v>
      </c>
      <c r="B6">
        <v>12.5</v>
      </c>
    </row>
    <row r="7" spans="1:2" x14ac:dyDescent="0.35">
      <c r="A7" t="s">
        <v>20</v>
      </c>
      <c r="B7">
        <v>0.89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DFC</vt:lpstr>
      <vt:lpstr>Premissas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Cavalheiro</dc:creator>
  <cp:lastModifiedBy>Gustavo Cavalheiro</cp:lastModifiedBy>
  <dcterms:created xsi:type="dcterms:W3CDTF">2025-07-27T04:04:01Z</dcterms:created>
  <dcterms:modified xsi:type="dcterms:W3CDTF">2025-07-28T00:17:55Z</dcterms:modified>
</cp:coreProperties>
</file>